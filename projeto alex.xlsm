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eilson sousa\OneDrive\PROJETO ALEX\DB\banco\"/>
    </mc:Choice>
  </mc:AlternateContent>
  <bookViews>
    <workbookView xWindow="0" yWindow="0" windowWidth="8760" windowHeight="1695"/>
  </bookViews>
  <sheets>
    <sheet name="price" sheetId="1" r:id="rId1"/>
    <sheet name="dados_cliente" sheetId="4" r:id="rId2"/>
    <sheet name="boleto" sheetId="5" r:id="rId3"/>
    <sheet name="Config" sheetId="6" r:id="rId4"/>
  </sheets>
  <functionGroups builtInGroupCount="18"/>
  <definedNames>
    <definedName name="_xlnm.Print_Area" localSheetId="2">boleto!$A$1:$M$67</definedName>
    <definedName name="clientes">Tabela4[[#All],[CPF]:[OBS]]</definedName>
    <definedName name="SegmentaçãodeDados_CIDADE">#N/A</definedName>
    <definedName name="SegmentaçãodeDados_ESTADO">#N/A</definedName>
    <definedName name="SegmentaçãodeDados_NOME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J62" i="5" l="1"/>
  <c r="D62" i="5"/>
  <c r="J51" i="5"/>
  <c r="D51" i="5"/>
  <c r="J40" i="5"/>
  <c r="D40" i="5"/>
  <c r="J29" i="5"/>
  <c r="D29" i="5"/>
  <c r="J18" i="5"/>
  <c r="D18" i="5"/>
  <c r="J6" i="5"/>
  <c r="H60" i="5"/>
  <c r="B60" i="5"/>
  <c r="H49" i="5"/>
  <c r="B49" i="5"/>
  <c r="H38" i="5"/>
  <c r="B38" i="5"/>
  <c r="H27" i="5"/>
  <c r="B27" i="5"/>
  <c r="H16" i="5"/>
  <c r="B16" i="5"/>
  <c r="H4" i="5"/>
  <c r="H58" i="5"/>
  <c r="B58" i="5"/>
  <c r="B47" i="5"/>
  <c r="H47" i="5"/>
  <c r="H36" i="5"/>
  <c r="B36" i="5"/>
  <c r="H25" i="5"/>
  <c r="B25" i="5"/>
  <c r="H14" i="5"/>
  <c r="B14" i="5"/>
  <c r="H2" i="5"/>
  <c r="F7" i="1" l="1"/>
  <c r="E7" i="1"/>
  <c r="D7" i="1" l="1"/>
</calcChain>
</file>

<file path=xl/sharedStrings.xml><?xml version="1.0" encoding="utf-8"?>
<sst xmlns="http://schemas.openxmlformats.org/spreadsheetml/2006/main" count="153" uniqueCount="128">
  <si>
    <t>VALOR PRESENTE</t>
  </si>
  <si>
    <t>TAXA</t>
  </si>
  <si>
    <t>PERÍODOS</t>
  </si>
  <si>
    <t>PRESTAÇÃO</t>
  </si>
  <si>
    <t>AMORTIZAÇÃO</t>
  </si>
  <si>
    <t>SALDO DEVEDOR</t>
  </si>
  <si>
    <t>JUROS</t>
  </si>
  <si>
    <t>CLIENTE</t>
  </si>
  <si>
    <t>NOME</t>
  </si>
  <si>
    <t>N° CONTRATO</t>
  </si>
  <si>
    <t>DATA/VENCIMENTO</t>
  </si>
  <si>
    <t>TOTAL</t>
  </si>
  <si>
    <t>OBS</t>
  </si>
  <si>
    <t>ID_CLIENTE</t>
  </si>
  <si>
    <t>CPF</t>
  </si>
  <si>
    <t>TELEFONE_1</t>
  </si>
  <si>
    <t>TELEFONE_2</t>
  </si>
  <si>
    <t>ESTADO</t>
  </si>
  <si>
    <t>CIDADE</t>
  </si>
  <si>
    <t>LOGRADOURO</t>
  </si>
  <si>
    <t>NUMERO</t>
  </si>
  <si>
    <t>COMPLEMENTO</t>
  </si>
  <si>
    <t>EMAIL</t>
  </si>
  <si>
    <t>ATIVO</t>
  </si>
  <si>
    <t>RG</t>
  </si>
  <si>
    <t>Alex</t>
  </si>
  <si>
    <t>Leilson Sousa Santos</t>
  </si>
  <si>
    <t>Nº PERÍ</t>
  </si>
  <si>
    <t>01 de 12</t>
  </si>
  <si>
    <t>01/15/2019</t>
  </si>
  <si>
    <t>TABELA PRICE: LEILSON SOUSA</t>
  </si>
  <si>
    <t>RR</t>
  </si>
  <si>
    <t>PA</t>
  </si>
  <si>
    <t>MA</t>
  </si>
  <si>
    <t>SP</t>
  </si>
  <si>
    <t>PR</t>
  </si>
  <si>
    <t>MT</t>
  </si>
  <si>
    <t>DF</t>
  </si>
  <si>
    <t>Giovana</t>
  </si>
  <si>
    <t>Emanuel</t>
  </si>
  <si>
    <t>Kevin</t>
  </si>
  <si>
    <t>Rodrigo</t>
  </si>
  <si>
    <t>Lara</t>
  </si>
  <si>
    <t>Elisa</t>
  </si>
  <si>
    <t>Lis</t>
  </si>
  <si>
    <t>Bárbara</t>
  </si>
  <si>
    <t>Eduarda</t>
  </si>
  <si>
    <t>928.327.830-58</t>
  </si>
  <si>
    <t>532.629.112-67</t>
  </si>
  <si>
    <t>930.178.469-62</t>
  </si>
  <si>
    <t>109.393.714-99</t>
  </si>
  <si>
    <t>153.252.431-52</t>
  </si>
  <si>
    <t>291.323.678-21</t>
  </si>
  <si>
    <t>823.849.136-38</t>
  </si>
  <si>
    <t>456.866.217-64</t>
  </si>
  <si>
    <t>483.618.674-90</t>
  </si>
  <si>
    <t>880.498.137-70</t>
  </si>
  <si>
    <t>a_vanessinha_1990@hotmail.com</t>
  </si>
  <si>
    <t>a3sign@pandora.be</t>
  </si>
  <si>
    <t>aaanika2@hotmail.com</t>
  </si>
  <si>
    <t>aaron2003s@bol.com.br</t>
  </si>
  <si>
    <t>aaron--21@hotmail.com</t>
  </si>
  <si>
    <t>abidoral@hotmail.com</t>
  </si>
  <si>
    <t>abk_333@hotmail.com</t>
  </si>
  <si>
    <t>abner_bim@hotmail.com</t>
  </si>
  <si>
    <t>acacio_divix@hotmail.com</t>
  </si>
  <si>
    <t>Leilson Sousa</t>
  </si>
  <si>
    <t>Adelina Mascarenhas</t>
  </si>
  <si>
    <t>Basilio Garcez</t>
  </si>
  <si>
    <t>Borrás Osório</t>
  </si>
  <si>
    <t>Burtira Belchior</t>
  </si>
  <si>
    <t>Marilda Gutiérrez</t>
  </si>
  <si>
    <t>Patrícia Cayado</t>
  </si>
  <si>
    <t>Renato Castel-Branco</t>
  </si>
  <si>
    <t>Vivaldo Horta</t>
  </si>
  <si>
    <t>Zoraide Taperebá</t>
  </si>
  <si>
    <t>Úrsula Inês</t>
  </si>
  <si>
    <t>Carminda Vilalobos</t>
  </si>
  <si>
    <t>Fernanda Lacerda</t>
  </si>
  <si>
    <t>Fiona Baía</t>
  </si>
  <si>
    <t>Gedeão Magallanes</t>
  </si>
  <si>
    <t>Joaquina Paixão</t>
  </si>
  <si>
    <t>Potira Valente</t>
  </si>
  <si>
    <t>Sancha Teodoro</t>
  </si>
  <si>
    <t>Ulrico Leitão</t>
  </si>
  <si>
    <t>Óscar Jesus</t>
  </si>
  <si>
    <t>Úrsula Freixo</t>
  </si>
  <si>
    <t>true</t>
  </si>
  <si>
    <t>false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</si>
  <si>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</si>
  <si>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</si>
  <si>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</si>
  <si>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</si>
  <si>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</si>
  <si>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</si>
  <si>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</si>
  <si>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</si>
  <si>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</si>
  <si>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</si>
  <si>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1.5</t>
  </si>
  <si>
    <t>30/12/1899</t>
  </si>
  <si>
    <t>02/03/1899</t>
  </si>
  <si>
    <t>30/03/1899</t>
  </si>
  <si>
    <t>30/04/1899</t>
  </si>
  <si>
    <t>30/05/1899</t>
  </si>
  <si>
    <t>-</t>
  </si>
  <si>
    <t>1 de 10</t>
  </si>
  <si>
    <t>2 de 10</t>
  </si>
  <si>
    <t>3 de 10</t>
  </si>
  <si>
    <t>4 de 10</t>
  </si>
  <si>
    <t>5 de 10</t>
  </si>
  <si>
    <t>30/06/1899</t>
  </si>
  <si>
    <t>6 de 10</t>
  </si>
  <si>
    <t>30/07/1899</t>
  </si>
  <si>
    <t>7 de 10</t>
  </si>
  <si>
    <t>30/08/1899</t>
  </si>
  <si>
    <t>8 de 10</t>
  </si>
  <si>
    <t>30/09/1899</t>
  </si>
  <si>
    <t>9 de 10</t>
  </si>
  <si>
    <t>30/10/1899</t>
  </si>
  <si>
    <t>10 de 10</t>
  </si>
  <si>
    <t>30/11/1899</t>
  </si>
  <si>
    <t>pagas</t>
  </si>
  <si>
    <t>a pagar</t>
  </si>
  <si>
    <t>Multa por Atraso (R$)</t>
  </si>
  <si>
    <t>Taxa por dia de atraso (%)</t>
  </si>
  <si>
    <t>Nome Empreendimento</t>
  </si>
  <si>
    <t>Cred 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</si>
</sst>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8"/>
      <color theme="1"/>
      <name val="Arial Rounded MT Bold"/>
      <family val="2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1" xfId="0" applyFont="1" applyBorder="1"/>
    <xf numFmtId="0" fontId="2" fillId="0" borderId="0" xfId="0" applyFont="1" applyFill="1" applyBorder="1" applyAlignment="1">
      <alignment horizontal="center" vertical="center"/>
    </xf>
    <xf numFmtId="44" fontId="0" fillId="0" borderId="0" xfId="1" applyFont="1" applyFill="1" applyBorder="1" applyAlignment="1">
      <alignment horizontal="center" vertical="center"/>
    </xf>
    <xf numFmtId="44" fontId="2" fillId="2" borderId="3" xfId="1" applyFont="1" applyFill="1" applyBorder="1"/>
    <xf numFmtId="44" fontId="0" fillId="4" borderId="3" xfId="1" applyFont="1" applyFill="1" applyBorder="1"/>
    <xf numFmtId="44" fontId="0" fillId="5" borderId="4" xfId="1" applyFont="1" applyFill="1" applyBorder="1"/>
    <xf numFmtId="0" fontId="5" fillId="3" borderId="2" xfId="0" applyFont="1" applyFill="1" applyBorder="1"/>
    <xf numFmtId="0" fontId="0" fillId="0" borderId="0" xfId="0" applyNumberFormat="1" applyFill="1" applyBorder="1" applyAlignment="1">
      <alignment horizontal="center" vertical="center"/>
    </xf>
    <xf numFmtId="14" fontId="0" fillId="0" borderId="0" xfId="1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/>
    <xf numFmtId="0" fontId="6" fillId="0" borderId="0" xfId="0" applyFont="1" applyAlignment="1">
      <alignment horizontal="center" vertical="center"/>
    </xf>
    <xf numFmtId="44" fontId="7" fillId="0" borderId="0" xfId="1" applyFont="1" applyAlignment="1">
      <alignment horizontal="center" vertical="center" shrinkToFit="1"/>
    </xf>
    <xf numFmtId="0" fontId="9" fillId="0" borderId="0" xfId="0" applyFont="1" applyAlignment="1">
      <alignment vertical="center"/>
    </xf>
    <xf numFmtId="0" fontId="0" fillId="0" borderId="0" xfId="0" applyNumberFormat="1" applyFill="1" applyAlignment="1">
      <alignment horizontal="center" vertical="center"/>
    </xf>
    <xf numFmtId="44" fontId="0" fillId="0" borderId="0" xfId="1" applyFont="1" applyFill="1"/>
    <xf numFmtId="14" fontId="0" fillId="0" borderId="0" xfId="0" applyNumberFormat="1" applyFill="1" applyAlignment="1">
      <alignment horizontal="center" vertical="center"/>
    </xf>
    <xf numFmtId="7" fontId="0" fillId="0" borderId="0" xfId="1" applyNumberFormat="1" applyFont="1" applyFill="1" applyBorder="1" applyAlignment="1">
      <alignment horizontal="center" vertical="center"/>
    </xf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right"/>
    </xf>
    <xf numFmtId="0" fontId="4" fillId="2" borderId="0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44" fontId="0" fillId="0" borderId="1" xfId="1" applyFont="1" applyBorder="1" applyAlignment="1">
      <alignment horizontal="right"/>
    </xf>
    <xf numFmtId="44" fontId="3" fillId="0" borderId="1" xfId="1" applyFont="1" applyBorder="1" applyAlignment="1">
      <alignment horizontal="right"/>
    </xf>
    <xf numFmtId="0" fontId="0" fillId="0" borderId="1" xfId="0" applyNumberFormat="1" applyFont="1" applyBorder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2" fillId="0" borderId="0" xfId="0" applyFont="1" applyAlignment="1">
      <alignment horizontal="left" vertical="center" shrinkToFit="1"/>
    </xf>
    <xf numFmtId="0" fontId="8" fillId="0" borderId="0" xfId="0" applyFont="1" applyAlignment="1">
      <alignment horizontal="center" vertical="center" shrinkToFit="1"/>
    </xf>
  </cellXfs>
  <cellStyles count="2">
    <cellStyle name="Moeda" xfId="1" builtinId="4"/>
    <cellStyle name="Normal" xfId="0" builtinId="0"/>
  </cellStyles>
  <dxfs count="8"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469816272965886E-2"/>
          <c:y val="7.407407407407407E-2"/>
          <c:w val="0.84648162729658794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price!$F$10</c:f>
              <c:strCache>
                <c:ptCount val="1"/>
                <c:pt idx="0">
                  <c:v>AMORTIZAÇÃO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price!$F$11:$F$21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49.25</c:v>
                </c:pt>
                <c:pt idx="2">
                  <c:v>56.637500000000017</c:v>
                </c:pt>
                <c:pt idx="3">
                  <c:v>65.133125000000007</c:v>
                </c:pt>
                <c:pt idx="4">
                  <c:v>74.903093750000025</c:v>
                </c:pt>
                <c:pt idx="5">
                  <c:v>86.138557812500025</c:v>
                </c:pt>
                <c:pt idx="6">
                  <c:v>99.059341484375025</c:v>
                </c:pt>
                <c:pt idx="7">
                  <c:v>113.9182427070313</c:v>
                </c:pt>
                <c:pt idx="8">
                  <c:v>131.00597911308597</c:v>
                </c:pt>
                <c:pt idx="9">
                  <c:v>150.65687598004888</c:v>
                </c:pt>
                <c:pt idx="10">
                  <c:v>173.2554073770562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E5-40AA-B27B-D1DF973FFCFF}"/>
            </c:ext>
          </c:extLst>
        </c:ser>
        <c:ser>
          <c:idx val="1"/>
          <c:order val="1"/>
          <c:tx>
            <c:strRef>
              <c:f>price!$E$10</c:f>
              <c:strCache>
                <c:ptCount val="1"/>
                <c:pt idx="0">
                  <c:v>JUROS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price!$E$11:$E$21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150</c:v>
                </c:pt>
                <c:pt idx="2">
                  <c:v>142.61249999999998</c:v>
                </c:pt>
                <c:pt idx="3">
                  <c:v>134.11687499999999</c:v>
                </c:pt>
                <c:pt idx="4">
                  <c:v>124.34690624999998</c:v>
                </c:pt>
                <c:pt idx="5">
                  <c:v>113.11144218749997</c:v>
                </c:pt>
                <c:pt idx="6">
                  <c:v>100.19065851562497</c:v>
                </c:pt>
                <c:pt idx="7">
                  <c:v>85.331757292968703</c:v>
                </c:pt>
                <c:pt idx="8">
                  <c:v>68.244020886914015</c:v>
                </c:pt>
                <c:pt idx="9">
                  <c:v>48.593124019951119</c:v>
                </c:pt>
                <c:pt idx="10">
                  <c:v>25.994592622943788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E5-40AA-B27B-D1DF973FF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92612751"/>
        <c:axId val="1692616079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price!$D$10</c15:sqref>
                        </c15:formulaRef>
                      </c:ext>
                    </c:extLst>
                    <c:strCache>
                      <c:ptCount val="1"/>
                      <c:pt idx="0">
                        <c:v>PRESTAÇÃO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price!$D$11:$D$21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1"/>
                      <c:pt idx="0">
                        <c:v>0</c:v>
                      </c:pt>
                      <c:pt idx="1">
                        <c:v>199.25</c:v>
                      </c:pt>
                      <c:pt idx="2">
                        <c:v>199.25</c:v>
                      </c:pt>
                      <c:pt idx="3">
                        <c:v>199.25</c:v>
                      </c:pt>
                      <c:pt idx="4">
                        <c:v>199.25</c:v>
                      </c:pt>
                      <c:pt idx="5">
                        <c:v>199.25</c:v>
                      </c:pt>
                      <c:pt idx="6">
                        <c:v>199.25</c:v>
                      </c:pt>
                      <c:pt idx="7">
                        <c:v>199.25</c:v>
                      </c:pt>
                      <c:pt idx="8">
                        <c:v>199.25</c:v>
                      </c:pt>
                      <c:pt idx="9">
                        <c:v>199.25</c:v>
                      </c:pt>
                      <c:pt idx="10">
                        <c:v>199.25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2E5-40AA-B27B-D1DF973FFCFF}"/>
                  </c:ext>
                </c:extLst>
              </c15:ser>
            </c15:filteredBarSeries>
          </c:ext>
        </c:extLst>
      </c:barChart>
      <c:catAx>
        <c:axId val="1692612751"/>
        <c:scaling>
          <c:orientation val="minMax"/>
        </c:scaling>
        <c:delete val="1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crossAx val="1692616079"/>
        <c:crosses val="autoZero"/>
        <c:auto val="1"/>
        <c:lblAlgn val="ctr"/>
        <c:lblOffset val="100"/>
        <c:noMultiLvlLbl val="0"/>
      </c:catAx>
      <c:valAx>
        <c:axId val="16926160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69261275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7200612423447074"/>
          <c:y val="0.12745188101487312"/>
          <c:w val="0.40043241469816271"/>
          <c:h val="0.66738735783027126"/>
        </c:manualLayout>
      </c:layout>
      <c:doughnutChart>
        <c:varyColors val="1"/>
        <c:ser>
          <c:idx val="0"/>
          <c:order val="0"/>
          <c:tx>
            <c:strRef>
              <c:f>price!$Q$23</c:f>
              <c:strCache>
                <c:ptCount val="1"/>
                <c:pt idx="0">
                  <c:v>pagas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AF0-4936-9B62-FE1BEE8E76AF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78-4FCA-9844-520546775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price!$R$23:$R$24</c:f>
              <c:numCache>
                <c:formatCode>General</c:formatCode>
                <c:ptCount val="2"/>
                <c:pt idx="0">
                  <c:v>10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0-4936-9B62-FE1BEE8E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B$1" fmlaRange="#REF!" noThreeD="1" sel="0" val="0"/>
</file>

<file path=xl/ctrlProps/ctrlProp2.xml><?xml version="1.0" encoding="utf-8"?>
<formControlPr xmlns="http://schemas.microsoft.com/office/spreadsheetml/2009/9/main" objectType="Drop" dropStyle="combo" dx="16" fmlaLink="$B$1" fmlaRange="#REF!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1</xdr:row>
          <xdr:rowOff>19050</xdr:rowOff>
        </xdr:from>
        <xdr:to>
          <xdr:col>3</xdr:col>
          <xdr:colOff>904875</xdr:colOff>
          <xdr:row>1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0</xdr:row>
          <xdr:rowOff>9525</xdr:rowOff>
        </xdr:from>
        <xdr:to>
          <xdr:col>3</xdr:col>
          <xdr:colOff>904875</xdr:colOff>
          <xdr:row>0</xdr:row>
          <xdr:rowOff>180975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</xdr:row>
          <xdr:rowOff>161925</xdr:rowOff>
        </xdr:from>
        <xdr:to>
          <xdr:col>5</xdr:col>
          <xdr:colOff>66675</xdr:colOff>
          <xdr:row>4</xdr:row>
          <xdr:rowOff>190500</xdr:rowOff>
        </xdr:to>
        <xdr:sp macro="" textlink="">
          <xdr:nvSpPr>
            <xdr:cNvPr id="1027" name="cmd_calcul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47625</xdr:rowOff>
        </xdr:from>
        <xdr:to>
          <xdr:col>5</xdr:col>
          <xdr:colOff>66675</xdr:colOff>
          <xdr:row>2</xdr:row>
          <xdr:rowOff>85725</xdr:rowOff>
        </xdr:to>
        <xdr:sp macro="" textlink="">
          <xdr:nvSpPr>
            <xdr:cNvPr id="1028" name="cmd_limp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0</xdr:row>
          <xdr:rowOff>161925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114300</xdr:colOff>
      <xdr:row>7</xdr:row>
      <xdr:rowOff>85725</xdr:rowOff>
    </xdr:from>
    <xdr:to>
      <xdr:col>15</xdr:col>
      <xdr:colOff>419100</xdr:colOff>
      <xdr:row>21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180975</xdr:colOff>
      <xdr:row>21</xdr:row>
      <xdr:rowOff>142875</xdr:rowOff>
    </xdr:from>
    <xdr:to>
      <xdr:col>15</xdr:col>
      <xdr:colOff>485775</xdr:colOff>
      <xdr:row>36</xdr:row>
      <xdr:rowOff>28575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12</xdr:row>
      <xdr:rowOff>9525</xdr:rowOff>
    </xdr:from>
    <xdr:to>
      <xdr:col>1</xdr:col>
      <xdr:colOff>904875</xdr:colOff>
      <xdr:row>25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NO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2295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923925</xdr:colOff>
      <xdr:row>12</xdr:row>
      <xdr:rowOff>9525</xdr:rowOff>
    </xdr:from>
    <xdr:to>
      <xdr:col>3</xdr:col>
      <xdr:colOff>285750</xdr:colOff>
      <xdr:row>25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ESTA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2295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66675</xdr:colOff>
      <xdr:row>25</xdr:row>
      <xdr:rowOff>104775</xdr:rowOff>
    </xdr:from>
    <xdr:to>
      <xdr:col>1</xdr:col>
      <xdr:colOff>885825</xdr:colOff>
      <xdr:row>38</xdr:row>
      <xdr:rowOff>152400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IDAD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48672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211620</xdr:colOff>
      <xdr:row>0</xdr:row>
      <xdr:rowOff>32688</xdr:rowOff>
    </xdr:from>
    <xdr:to>
      <xdr:col>12</xdr:col>
      <xdr:colOff>97631</xdr:colOff>
      <xdr:row>10</xdr:row>
      <xdr:rowOff>97905</xdr:rowOff>
    </xdr:to>
    <xdr:grpSp>
      <xdr:nvGrpSpPr>
        <xdr:cNvPr id="19" name="Agrupar 18"/>
        <xdr:cNvGrpSpPr/>
      </xdr:nvGrpSpPr>
      <xdr:grpSpPr>
        <a:xfrm>
          <a:off x="2856639" y="32688"/>
          <a:ext cx="2728857" cy="1523275"/>
          <a:chOff x="11596" y="29118"/>
          <a:chExt cx="2869717" cy="1541592"/>
        </a:xfrm>
      </xdr:grpSpPr>
      <xdr:grpSp>
        <xdr:nvGrpSpPr>
          <xdr:cNvPr id="20" name="Agrupar 19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2" name="Retângulo Arredondado 2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Retângulo Arredondado 22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Retângulo Arredondado 23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Retângulo Arredondado 24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" name="Retângulo Arredondado 26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Retângulo Arredondado 27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Retângulo Arredondado 28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 Arredondado 25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1" name="Conector reto 20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0</xdr:row>
      <xdr:rowOff>29118</xdr:rowOff>
    </xdr:from>
    <xdr:to>
      <xdr:col>6</xdr:col>
      <xdr:colOff>95250</xdr:colOff>
      <xdr:row>10</xdr:row>
      <xdr:rowOff>94335</xdr:rowOff>
    </xdr:to>
    <xdr:grpSp>
      <xdr:nvGrpSpPr>
        <xdr:cNvPr id="16" name="Agrupar 15"/>
        <xdr:cNvGrpSpPr/>
      </xdr:nvGrpSpPr>
      <xdr:grpSpPr>
        <a:xfrm>
          <a:off x="11596" y="29118"/>
          <a:ext cx="2728673" cy="1523275"/>
          <a:chOff x="11596" y="29118"/>
          <a:chExt cx="2869717" cy="1541592"/>
        </a:xfrm>
      </xdr:grpSpPr>
      <xdr:grpSp>
        <xdr:nvGrpSpPr>
          <xdr:cNvPr id="13" name="Agrupar 12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2" name="Retângulo Arredondado 1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 Arredondado 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Retângulo Arredondado 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" name="Retângulo Arredondado 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 Arredondado 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Arredondado 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Retângulo Arredondado 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Arredondado 1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5" name="Conector reto 1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12</xdr:row>
      <xdr:rowOff>29118</xdr:rowOff>
    </xdr:from>
    <xdr:to>
      <xdr:col>6</xdr:col>
      <xdr:colOff>95250</xdr:colOff>
      <xdr:row>22</xdr:row>
      <xdr:rowOff>94335</xdr:rowOff>
    </xdr:to>
    <xdr:grpSp>
      <xdr:nvGrpSpPr>
        <xdr:cNvPr id="103" name="Agrupar 102"/>
        <xdr:cNvGrpSpPr/>
      </xdr:nvGrpSpPr>
      <xdr:grpSpPr>
        <a:xfrm>
          <a:off x="11596" y="1868176"/>
          <a:ext cx="2728673" cy="1523274"/>
          <a:chOff x="11596" y="29118"/>
          <a:chExt cx="2869717" cy="1541592"/>
        </a:xfrm>
      </xdr:grpSpPr>
      <xdr:grpSp>
        <xdr:nvGrpSpPr>
          <xdr:cNvPr id="104" name="Agrupar 10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06" name="Retângulo Arredondado 10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Retângulo Arredondado 10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Retângulo Arredondado 10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9" name="Retângulo Arredondado 10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Retângulo Arredondado 10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1" name="Retângulo Arredondado 11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Retângulo Arredondado 11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Retângulo Arredondado 11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05" name="Conector reto 10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23</xdr:row>
      <xdr:rowOff>29118</xdr:rowOff>
    </xdr:from>
    <xdr:to>
      <xdr:col>6</xdr:col>
      <xdr:colOff>95250</xdr:colOff>
      <xdr:row>33</xdr:row>
      <xdr:rowOff>94335</xdr:rowOff>
    </xdr:to>
    <xdr:grpSp>
      <xdr:nvGrpSpPr>
        <xdr:cNvPr id="151" name="Agrupar 150"/>
        <xdr:cNvGrpSpPr/>
      </xdr:nvGrpSpPr>
      <xdr:grpSpPr>
        <a:xfrm>
          <a:off x="11596" y="3516733"/>
          <a:ext cx="2728673" cy="1523275"/>
          <a:chOff x="11596" y="29118"/>
          <a:chExt cx="2869717" cy="1541592"/>
        </a:xfrm>
      </xdr:grpSpPr>
      <xdr:grpSp>
        <xdr:nvGrpSpPr>
          <xdr:cNvPr id="152" name="Agrupar 151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54" name="Retângulo Arredondado 153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5" name="Retângulo Arredondado 15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6" name="Retângulo Arredondado 15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7" name="Retângulo Arredondado 15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8" name="Retângulo Arredondado 15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9" name="Retângulo Arredondado 15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0" name="Retângulo Arredondado 15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1" name="Retângulo Arredondado 16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53" name="Conector reto 152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34</xdr:row>
      <xdr:rowOff>29118</xdr:rowOff>
    </xdr:from>
    <xdr:to>
      <xdr:col>6</xdr:col>
      <xdr:colOff>95250</xdr:colOff>
      <xdr:row>44</xdr:row>
      <xdr:rowOff>94335</xdr:rowOff>
    </xdr:to>
    <xdr:grpSp>
      <xdr:nvGrpSpPr>
        <xdr:cNvPr id="163" name="Agrupar 162"/>
        <xdr:cNvGrpSpPr/>
      </xdr:nvGrpSpPr>
      <xdr:grpSpPr>
        <a:xfrm>
          <a:off x="11596" y="5165291"/>
          <a:ext cx="2728673" cy="1523275"/>
          <a:chOff x="11596" y="29118"/>
          <a:chExt cx="2869717" cy="1541592"/>
        </a:xfrm>
      </xdr:grpSpPr>
      <xdr:grpSp>
        <xdr:nvGrpSpPr>
          <xdr:cNvPr id="164" name="Agrupar 16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66" name="Retângulo Arredondado 16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7" name="Retângulo Arredondado 16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8" name="Retângulo Arredondado 16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9" name="Retângulo Arredondado 16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0" name="Retângulo Arredondado 16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1" name="Retângulo Arredondado 17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2" name="Retângulo Arredondado 17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3" name="Retângulo Arredondado 17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65" name="Conector reto 16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45</xdr:row>
      <xdr:rowOff>29118</xdr:rowOff>
    </xdr:from>
    <xdr:to>
      <xdr:col>6</xdr:col>
      <xdr:colOff>95250</xdr:colOff>
      <xdr:row>55</xdr:row>
      <xdr:rowOff>94335</xdr:rowOff>
    </xdr:to>
    <xdr:grpSp>
      <xdr:nvGrpSpPr>
        <xdr:cNvPr id="187" name="Agrupar 186"/>
        <xdr:cNvGrpSpPr/>
      </xdr:nvGrpSpPr>
      <xdr:grpSpPr>
        <a:xfrm>
          <a:off x="11596" y="6813849"/>
          <a:ext cx="2728673" cy="1523274"/>
          <a:chOff x="11596" y="29118"/>
          <a:chExt cx="2869717" cy="1541592"/>
        </a:xfrm>
      </xdr:grpSpPr>
      <xdr:grpSp>
        <xdr:nvGrpSpPr>
          <xdr:cNvPr id="188" name="Agrupar 187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90" name="Retângulo Arredondado 189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1" name="Retângulo Arredondado 190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2" name="Retângulo Arredondado 191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3" name="Retângulo Arredondado 192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4" name="Retângulo Arredondado 193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5" name="Retângulo Arredondado 194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6" name="Retângulo Arredondado 195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7" name="Retângulo Arredondado 196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89" name="Conector reto 188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56</xdr:row>
      <xdr:rowOff>29118</xdr:rowOff>
    </xdr:from>
    <xdr:to>
      <xdr:col>6</xdr:col>
      <xdr:colOff>95250</xdr:colOff>
      <xdr:row>66</xdr:row>
      <xdr:rowOff>94335</xdr:rowOff>
    </xdr:to>
    <xdr:grpSp>
      <xdr:nvGrpSpPr>
        <xdr:cNvPr id="199" name="Agrupar 198"/>
        <xdr:cNvGrpSpPr/>
      </xdr:nvGrpSpPr>
      <xdr:grpSpPr>
        <a:xfrm>
          <a:off x="11596" y="8462406"/>
          <a:ext cx="2728673" cy="1523275"/>
          <a:chOff x="11596" y="29118"/>
          <a:chExt cx="2869717" cy="1541592"/>
        </a:xfrm>
      </xdr:grpSpPr>
      <xdr:grpSp>
        <xdr:nvGrpSpPr>
          <xdr:cNvPr id="200" name="Agrupar 199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02" name="Retângulo Arredondado 20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3" name="Retângulo Arredondado 202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4" name="Retângulo Arredondado 203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5" name="Retângulo Arredondado 204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6" name="Retângulo Arredondado 205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7" name="Retângulo Arredondado 206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8" name="Retângulo Arredondado 207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9" name="Retângulo Arredondado 208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01" name="Conector reto 200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12</xdr:row>
      <xdr:rowOff>38643</xdr:rowOff>
    </xdr:from>
    <xdr:to>
      <xdr:col>12</xdr:col>
      <xdr:colOff>95250</xdr:colOff>
      <xdr:row>22</xdr:row>
      <xdr:rowOff>103860</xdr:rowOff>
    </xdr:to>
    <xdr:grpSp>
      <xdr:nvGrpSpPr>
        <xdr:cNvPr id="210" name="Agrupar 209"/>
        <xdr:cNvGrpSpPr/>
      </xdr:nvGrpSpPr>
      <xdr:grpSpPr>
        <a:xfrm>
          <a:off x="2866165" y="1877701"/>
          <a:ext cx="2716950" cy="1523274"/>
          <a:chOff x="11596" y="29118"/>
          <a:chExt cx="2869717" cy="1541592"/>
        </a:xfrm>
      </xdr:grpSpPr>
      <xdr:grpSp>
        <xdr:nvGrpSpPr>
          <xdr:cNvPr id="211" name="Agrupar 210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13" name="Retângulo Arredondado 212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4" name="Retângulo Arredondado 213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5" name="Retângulo Arredondado 214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6" name="Retângulo Arredondado 215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7" name="Retângulo Arredondado 216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8" name="Retângulo Arredondado 217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9" name="Retângulo Arredondado 218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0" name="Retângulo Arredondado 219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12" name="Conector reto 211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23</xdr:row>
      <xdr:rowOff>38643</xdr:rowOff>
    </xdr:from>
    <xdr:to>
      <xdr:col>12</xdr:col>
      <xdr:colOff>95250</xdr:colOff>
      <xdr:row>33</xdr:row>
      <xdr:rowOff>103860</xdr:rowOff>
    </xdr:to>
    <xdr:grpSp>
      <xdr:nvGrpSpPr>
        <xdr:cNvPr id="221" name="Agrupar 220"/>
        <xdr:cNvGrpSpPr/>
      </xdr:nvGrpSpPr>
      <xdr:grpSpPr>
        <a:xfrm>
          <a:off x="2866165" y="3526258"/>
          <a:ext cx="2716950" cy="1523275"/>
          <a:chOff x="11596" y="29118"/>
          <a:chExt cx="2869717" cy="1541592"/>
        </a:xfrm>
      </xdr:grpSpPr>
      <xdr:grpSp>
        <xdr:nvGrpSpPr>
          <xdr:cNvPr id="222" name="Agrupar 221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24" name="Retângulo Arredondado 223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5" name="Retângulo Arredondado 22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6" name="Retângulo Arredondado 22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7" name="Retângulo Arredondado 22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8" name="Retângulo Arredondado 22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9" name="Retângulo Arredondado 22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0" name="Retângulo Arredondado 22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1" name="Retângulo Arredondado 23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23" name="Conector reto 222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34</xdr:row>
      <xdr:rowOff>38643</xdr:rowOff>
    </xdr:from>
    <xdr:to>
      <xdr:col>12</xdr:col>
      <xdr:colOff>95250</xdr:colOff>
      <xdr:row>44</xdr:row>
      <xdr:rowOff>103860</xdr:rowOff>
    </xdr:to>
    <xdr:grpSp>
      <xdr:nvGrpSpPr>
        <xdr:cNvPr id="232" name="Agrupar 231"/>
        <xdr:cNvGrpSpPr/>
      </xdr:nvGrpSpPr>
      <xdr:grpSpPr>
        <a:xfrm>
          <a:off x="2866165" y="5174816"/>
          <a:ext cx="2716950" cy="1523275"/>
          <a:chOff x="11596" y="29118"/>
          <a:chExt cx="2869717" cy="1541592"/>
        </a:xfrm>
      </xdr:grpSpPr>
      <xdr:grpSp>
        <xdr:nvGrpSpPr>
          <xdr:cNvPr id="233" name="Agrupar 232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35" name="Retângulo Arredondado 234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6" name="Retângulo Arredondado 235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7" name="Retângulo Arredondado 236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8" name="Retângulo Arredondado 237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9" name="Retângulo Arredondado 238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0" name="Retângulo Arredondado 239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1" name="Retângulo Arredondado 240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2" name="Retângulo Arredondado 241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34" name="Conector reto 233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45</xdr:row>
      <xdr:rowOff>38643</xdr:rowOff>
    </xdr:from>
    <xdr:to>
      <xdr:col>12</xdr:col>
      <xdr:colOff>95250</xdr:colOff>
      <xdr:row>55</xdr:row>
      <xdr:rowOff>103860</xdr:rowOff>
    </xdr:to>
    <xdr:grpSp>
      <xdr:nvGrpSpPr>
        <xdr:cNvPr id="243" name="Agrupar 242"/>
        <xdr:cNvGrpSpPr/>
      </xdr:nvGrpSpPr>
      <xdr:grpSpPr>
        <a:xfrm>
          <a:off x="2866165" y="6823374"/>
          <a:ext cx="2716950" cy="1523274"/>
          <a:chOff x="11596" y="29118"/>
          <a:chExt cx="2869717" cy="1541592"/>
        </a:xfrm>
      </xdr:grpSpPr>
      <xdr:grpSp>
        <xdr:nvGrpSpPr>
          <xdr:cNvPr id="244" name="Agrupar 24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46" name="Retângulo Arredondado 24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7" name="Retângulo Arredondado 24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8" name="Retângulo Arredondado 24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9" name="Retângulo Arredondado 24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0" name="Retângulo Arredondado 24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1" name="Retângulo Arredondado 25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2" name="Retângulo Arredondado 25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3" name="Retângulo Arredondado 25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45" name="Conector reto 24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56</xdr:row>
      <xdr:rowOff>38643</xdr:rowOff>
    </xdr:from>
    <xdr:to>
      <xdr:col>12</xdr:col>
      <xdr:colOff>95250</xdr:colOff>
      <xdr:row>66</xdr:row>
      <xdr:rowOff>103860</xdr:rowOff>
    </xdr:to>
    <xdr:grpSp>
      <xdr:nvGrpSpPr>
        <xdr:cNvPr id="254" name="Agrupar 253"/>
        <xdr:cNvGrpSpPr/>
      </xdr:nvGrpSpPr>
      <xdr:grpSpPr>
        <a:xfrm>
          <a:off x="2866165" y="8471931"/>
          <a:ext cx="2716950" cy="1523275"/>
          <a:chOff x="11596" y="29118"/>
          <a:chExt cx="2869717" cy="1541592"/>
        </a:xfrm>
      </xdr:grpSpPr>
      <xdr:grpSp>
        <xdr:nvGrpSpPr>
          <xdr:cNvPr id="255" name="Agrupar 254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57" name="Retângulo Arredondado 256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8" name="Retângulo Arredondado 257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9" name="Retângulo Arredondado 258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0" name="Retângulo Arredondado 259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1" name="Retângulo Arredondado 260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2" name="Retângulo Arredondado 261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3" name="Retângulo Arredondado 262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4" name="Retângulo Arredondado 263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56" name="Conector reto 255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14</xdr:col>
      <xdr:colOff>224669</xdr:colOff>
      <xdr:row>1</xdr:row>
      <xdr:rowOff>218449</xdr:rowOff>
    </xdr:from>
    <xdr:to>
      <xdr:col>22</xdr:col>
      <xdr:colOff>333374</xdr:colOff>
      <xdr:row>13</xdr:row>
      <xdr:rowOff>106019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80" t="57623" r="7251" b="14218"/>
        <a:stretch/>
      </xdr:blipFill>
      <xdr:spPr>
        <a:xfrm>
          <a:off x="6892169" y="408949"/>
          <a:ext cx="4934705" cy="1760820"/>
        </a:xfrm>
        <a:prstGeom prst="rect">
          <a:avLst/>
        </a:prstGeom>
      </xdr:spPr>
    </xdr:pic>
    <xdr:clientData/>
  </xdr:twoCellAnchor>
  <xdr:twoCellAnchor editAs="absolute">
    <xdr:from>
      <xdr:col>14</xdr:col>
      <xdr:colOff>216972</xdr:colOff>
      <xdr:row>13</xdr:row>
      <xdr:rowOff>230940</xdr:rowOff>
    </xdr:from>
    <xdr:to>
      <xdr:col>22</xdr:col>
      <xdr:colOff>199189</xdr:colOff>
      <xdr:row>25</xdr:row>
      <xdr:rowOff>47625</xdr:rowOff>
    </xdr:to>
    <xdr:pic>
      <xdr:nvPicPr>
        <xdr:cNvPr id="4" name="Imagem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771" t="13815" r="7176" b="54524"/>
        <a:stretch/>
      </xdr:blipFill>
      <xdr:spPr>
        <a:xfrm>
          <a:off x="6884472" y="2294690"/>
          <a:ext cx="4808217" cy="1801060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" sourceName="NOME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TADO" sourceName="ESTADO">
  <extLst>
    <x:ext xmlns:x15="http://schemas.microsoft.com/office/spreadsheetml/2010/11/main" uri="{2F2917AC-EB37-4324-AD4E-5DD8C200BD13}">
      <x15:tableSlicerCache tableId="4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IDADE" sourceName="CIDADE">
  <extLst>
    <x:ext xmlns:x15="http://schemas.microsoft.com/office/spreadsheetml/2010/11/main" uri="{2F2917AC-EB37-4324-AD4E-5DD8C200BD13}">
      <x15:tableSlicerCache tableId="4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" cache="SegmentaçãodeDados_NOME" caption="NOME" rowHeight="241300"/>
  <slicer name="ESTADO" cache="SegmentaçãodeDados_ESTADO" caption="ESTADO" rowHeight="241300"/>
  <slicer name="CIDADE" cache="SegmentaçãodeDados_CIDADE" caption="CIDADE" rowHeight="241300"/>
</slicers>
</file>

<file path=xl/tables/table1.xml><?xml version="1.0" encoding="utf-8"?>
<table xmlns="http://schemas.openxmlformats.org/spreadsheetml/2006/main" id="2" name="Tabela2" displayName="Tabela2" ref="C10:H21" totalsRowShown="0" headerRowDxfId="7" dataDxfId="6">
  <autoFilter ref="C10:H21"/>
  <tableColumns count="6">
    <tableColumn id="1" name="Nº PERÍ" dataDxfId="5"/>
    <tableColumn id="2" name="PRESTAÇÃO" dataDxfId="4" dataCellStyle="Moeda"/>
    <tableColumn id="3" name="JUROS" dataDxfId="3" dataCellStyle="Moeda"/>
    <tableColumn id="4" name="AMORTIZAÇÃO" dataDxfId="2" dataCellStyle="Moeda"/>
    <tableColumn id="5" name="SALDO DEVEDOR" dataDxfId="1" dataCellStyle="Moeda"/>
    <tableColumn id="6" name="DATA/VENCIMENTO" dataDxfId="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N11" totalsRowShown="0">
  <autoFilter ref="A1:N11"/>
  <tableColumns count="14">
    <tableColumn id="1" name="ID_CLIENTE"/>
    <tableColumn id="2" name="NOME"/>
    <tableColumn id="3" name="CPF"/>
    <tableColumn id="14" name="RG"/>
    <tableColumn id="4" name="TELEFONE_1"/>
    <tableColumn id="5" name="TELEFONE_2"/>
    <tableColumn id="6" name="ESTADO"/>
    <tableColumn id="7" name="CIDADE"/>
    <tableColumn id="8" name="LOGRADOURO"/>
    <tableColumn id="9" name="NUMERO"/>
    <tableColumn id="10" name="COMPLEMENTO"/>
    <tableColumn id="11" name="EMAIL"/>
    <tableColumn id="12" name="ATIVO"/>
    <tableColumn id="13" name="OB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R24"/>
  <sheetViews>
    <sheetView showGridLines="0" tabSelected="1" topLeftCell="B1" zoomScale="80" zoomScaleNormal="80" zoomScaleSheetLayoutView="130" workbookViewId="0">
      <selection activeCell="H4" sqref="H4"/>
    </sheetView>
  </sheetViews>
  <sheetFormatPr defaultRowHeight="15"/>
  <cols>
    <col min="1" max="1" width="19.28515625" customWidth="1"/>
    <col min="2" max="2" width="12.140625" bestFit="1" customWidth="1"/>
    <col min="3" max="3" width="10.42578125" customWidth="1"/>
    <col min="4" max="4" width="13.7109375" customWidth="1"/>
    <col min="5" max="5" width="14" customWidth="1"/>
    <col min="6" max="6" width="16.5703125" customWidth="1"/>
    <col min="7" max="7" width="17.85546875" customWidth="1"/>
    <col min="8" max="8" width="19.28515625" bestFit="1" customWidth="1"/>
  </cols>
  <sheetData>
    <row r="1" spans="1:8">
      <c r="A1" s="1" t="s">
        <v>9</v>
      </c>
      <c r="B1" s="21">
        <v>0</v>
      </c>
      <c r="C1" s="21"/>
      <c r="D1" s="21"/>
    </row>
    <row r="2" spans="1:8" ht="15.75">
      <c r="A2" s="1" t="s">
        <v>7</v>
      </c>
      <c r="B2" s="23" t="e">
        <f>VLOOKUP($B$1,#REF!,3,FALSE)</f>
        <v>#REF!</v>
      </c>
      <c r="C2" s="24"/>
      <c r="D2" s="24"/>
    </row>
    <row r="3" spans="1:8" ht="15.75">
      <c r="A3" s="1" t="s">
        <v>0</v>
      </c>
      <c r="B3" s="25">
        <v>1000</v>
      </c>
      <c r="C3" s="26"/>
      <c r="D3" s="26"/>
    </row>
    <row r="4" spans="1:8" ht="15.75">
      <c r="A4" s="1" t="s">
        <v>1</v>
      </c>
      <c r="B4" s="23" t="s">
        <v>99</v>
      </c>
      <c r="C4" s="24"/>
      <c r="D4" s="24"/>
    </row>
    <row r="5" spans="1:8" ht="15.75">
      <c r="A5" s="1" t="s">
        <v>2</v>
      </c>
      <c r="B5" s="27">
        <v>10</v>
      </c>
      <c r="C5" s="28"/>
      <c r="D5" s="28"/>
    </row>
    <row r="6" spans="1:8" ht="15.75" thickBot="1"/>
    <row r="7" spans="1:8" ht="16.5" thickBot="1">
      <c r="C7" s="7" t="s">
        <v>11</v>
      </c>
      <c r="D7" s="4">
        <f>SUM(Tabela2[PRESTAÇÃO])</f>
        <v>1992.5</v>
      </c>
      <c r="E7" s="5">
        <f>SUM(Tabela2[JUROS])</f>
        <v>992.54187677590244</v>
      </c>
      <c r="F7" s="6">
        <f>SUM(Tabela2[AMORTIZAÇÃO])</f>
        <v>999.95812322409733</v>
      </c>
    </row>
    <row r="9" spans="1:8" ht="18.75">
      <c r="C9" s="22" t="s">
        <v>30</v>
      </c>
      <c r="D9" s="22"/>
      <c r="E9" s="22"/>
      <c r="F9" s="22"/>
      <c r="G9" s="22"/>
      <c r="H9" s="22"/>
    </row>
    <row r="10" spans="1:8">
      <c r="C10" s="2" t="s">
        <v>27</v>
      </c>
      <c r="D10" s="2" t="s">
        <v>3</v>
      </c>
      <c r="E10" s="2" t="s">
        <v>6</v>
      </c>
      <c r="F10" s="2" t="s">
        <v>4</v>
      </c>
      <c r="G10" s="2" t="s">
        <v>5</v>
      </c>
      <c r="H10" s="2" t="s">
        <v>10</v>
      </c>
    </row>
    <row r="11" spans="1:8">
      <c r="C11" s="8">
        <v>0</v>
      </c>
      <c r="D11" s="3" t="s">
        <v>105</v>
      </c>
      <c r="E11" s="3" t="s">
        <v>105</v>
      </c>
      <c r="F11" s="3" t="s">
        <v>105</v>
      </c>
      <c r="G11" s="18">
        <v>1000</v>
      </c>
      <c r="H11" s="9" t="s">
        <v>100</v>
      </c>
    </row>
    <row r="12" spans="1:8">
      <c r="C12" s="15" t="s">
        <v>106</v>
      </c>
      <c r="D12" s="16">
        <v>199.25</v>
      </c>
      <c r="E12" s="16">
        <v>150</v>
      </c>
      <c r="F12" s="16">
        <v>49.25</v>
      </c>
      <c r="G12" s="16">
        <v>950.75</v>
      </c>
      <c r="H12" s="17" t="s">
        <v>101</v>
      </c>
    </row>
    <row r="13" spans="1:8">
      <c r="C13" s="15" t="s">
        <v>107</v>
      </c>
      <c r="D13" s="16">
        <v>199.25</v>
      </c>
      <c r="E13" s="16">
        <v>142.61249999999998</v>
      </c>
      <c r="F13" s="16">
        <v>56.637500000000017</v>
      </c>
      <c r="G13" s="16">
        <v>894.11249999999995</v>
      </c>
      <c r="H13" s="17" t="s">
        <v>102</v>
      </c>
    </row>
    <row r="14" spans="1:8">
      <c r="C14" s="15" t="s">
        <v>108</v>
      </c>
      <c r="D14" s="16">
        <v>199.25</v>
      </c>
      <c r="E14" s="16">
        <v>134.11687499999999</v>
      </c>
      <c r="F14" s="16">
        <v>65.133125000000007</v>
      </c>
      <c r="G14" s="16">
        <v>828.97937499999989</v>
      </c>
      <c r="H14" s="17" t="s">
        <v>103</v>
      </c>
    </row>
    <row r="15" spans="1:8">
      <c r="C15" s="15" t="s">
        <v>109</v>
      </c>
      <c r="D15" s="16">
        <v>199.25</v>
      </c>
      <c r="E15" s="16">
        <v>124.34690624999998</v>
      </c>
      <c r="F15" s="16">
        <v>74.903093750000025</v>
      </c>
      <c r="G15" s="16">
        <v>754.07628124999985</v>
      </c>
      <c r="H15" s="17" t="s">
        <v>104</v>
      </c>
    </row>
    <row r="16" spans="1:8">
      <c r="C16" s="15" t="s">
        <v>110</v>
      </c>
      <c r="D16" s="16">
        <v>199.25</v>
      </c>
      <c r="E16" s="16">
        <v>113.11144218749997</v>
      </c>
      <c r="F16" s="16">
        <v>86.138557812500025</v>
      </c>
      <c r="G16" s="16">
        <v>667.93772343749981</v>
      </c>
      <c r="H16" s="17" t="s">
        <v>111</v>
      </c>
    </row>
    <row r="17" spans="3:18">
      <c r="C17" s="15" t="s">
        <v>112</v>
      </c>
      <c r="D17" s="16">
        <v>199.25</v>
      </c>
      <c r="E17" s="16">
        <v>100.19065851562497</v>
      </c>
      <c r="F17" s="16">
        <v>99.059341484375025</v>
      </c>
      <c r="G17" s="16">
        <v>568.87838195312474</v>
      </c>
      <c r="H17" s="17" t="s">
        <v>113</v>
      </c>
    </row>
    <row r="18" spans="3:18">
      <c r="C18" s="15" t="s">
        <v>114</v>
      </c>
      <c r="D18" s="16">
        <v>199.25</v>
      </c>
      <c r="E18" s="16">
        <v>85.331757292968703</v>
      </c>
      <c r="F18" s="16">
        <v>113.9182427070313</v>
      </c>
      <c r="G18" s="16">
        <v>454.96013924609343</v>
      </c>
      <c r="H18" s="17" t="s">
        <v>115</v>
      </c>
    </row>
    <row r="19" spans="3:18">
      <c r="C19" s="15" t="s">
        <v>116</v>
      </c>
      <c r="D19" s="16">
        <v>199.25</v>
      </c>
      <c r="E19" s="16">
        <v>68.244020886914015</v>
      </c>
      <c r="F19" s="16">
        <v>131.00597911308597</v>
      </c>
      <c r="G19" s="16">
        <v>323.95416013300746</v>
      </c>
      <c r="H19" s="17" t="s">
        <v>117</v>
      </c>
    </row>
    <row r="20" spans="3:18">
      <c r="C20" s="15" t="s">
        <v>118</v>
      </c>
      <c r="D20" s="16">
        <v>199.25</v>
      </c>
      <c r="E20" s="16">
        <v>48.593124019951119</v>
      </c>
      <c r="F20" s="16">
        <v>150.65687598004888</v>
      </c>
      <c r="G20" s="16">
        <v>173.29728415295858</v>
      </c>
      <c r="H20" s="17" t="s">
        <v>119</v>
      </c>
    </row>
    <row r="21" spans="3:18">
      <c r="C21" s="15" t="s">
        <v>120</v>
      </c>
      <c r="D21" s="16">
        <v>199.25</v>
      </c>
      <c r="E21" s="16">
        <v>25.994592622943788</v>
      </c>
      <c r="F21" s="16">
        <v>173.2554073770562</v>
      </c>
      <c r="G21" s="16">
        <v>4.1876775902380814E-2</v>
      </c>
      <c r="H21" s="17" t="s">
        <v>121</v>
      </c>
    </row>
    <row r="23" spans="3:18">
      <c r="Q23" t="s">
        <v>122</v>
      </c>
      <c r="R23">
        <v>10</v>
      </c>
    </row>
    <row r="24" spans="3:18">
      <c r="Q24" t="s">
        <v>123</v>
      </c>
      <c r="R24">
        <v>20</v>
      </c>
    </row>
  </sheetData>
  <sheetProtection insertRows="0" deleteRows="0"/>
  <mergeCells count="6">
    <mergeCell ref="B1:D1"/>
    <mergeCell ref="C9:H9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paperSize="9" orientation="landscape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md_calcular">
          <controlPr defaultSize="0" print="0" autoLine="0" r:id="rId5">
            <anchor moveWithCells="1">
              <from>
                <xdr:col>4</xdr:col>
                <xdr:colOff>123825</xdr:colOff>
                <xdr:row>2</xdr:row>
                <xdr:rowOff>161925</xdr:rowOff>
              </from>
              <to>
                <xdr:col>5</xdr:col>
                <xdr:colOff>66675</xdr:colOff>
                <xdr:row>4</xdr:row>
                <xdr:rowOff>190500</xdr:rowOff>
              </to>
            </anchor>
          </controlPr>
        </control>
      </mc:Choice>
      <mc:Fallback>
        <control shapeId="1027" r:id="rId4" name="cmd_calcular"/>
      </mc:Fallback>
    </mc:AlternateContent>
    <mc:AlternateContent xmlns:mc="http://schemas.openxmlformats.org/markup-compatibility/2006">
      <mc:Choice Requires="x14">
        <control shapeId="1028" r:id="rId6" name="cmd_limpar">
          <controlPr defaultSize="0" print="0" autoLine="0" r:id="rId7">
            <anchor moveWithCells="1">
              <from>
                <xdr:col>4</xdr:col>
                <xdr:colOff>123825</xdr:colOff>
                <xdr:row>0</xdr:row>
                <xdr:rowOff>47625</xdr:rowOff>
              </from>
              <to>
                <xdr:col>5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1028" r:id="rId6" name="cmd_limpar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5</xdr:col>
                <xdr:colOff>400050</xdr:colOff>
                <xdr:row>0</xdr:row>
                <xdr:rowOff>161925</xdr:rowOff>
              </from>
              <to>
                <xdr:col>6</xdr:col>
                <xdr:colOff>28575</xdr:colOff>
                <xdr:row>3</xdr:row>
                <xdr:rowOff>9525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25" r:id="rId10" name="Drop Down 1">
          <controlPr defaultSize="0" autoLine="0" autoPict="0">
            <anchor moveWithCells="1">
              <from>
                <xdr:col>0</xdr:col>
                <xdr:colOff>1285875</xdr:colOff>
                <xdr:row>1</xdr:row>
                <xdr:rowOff>19050</xdr:rowOff>
              </from>
              <to>
                <xdr:col>3</xdr:col>
                <xdr:colOff>904875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>
            <anchor moveWithCells="1">
              <from>
                <xdr:col>0</xdr:col>
                <xdr:colOff>1285875</xdr:colOff>
                <xdr:row>0</xdr:row>
                <xdr:rowOff>9525</xdr:rowOff>
              </from>
              <to>
                <xdr:col>3</xdr:col>
                <xdr:colOff>904875</xdr:colOff>
                <xdr:row>0</xdr:row>
                <xdr:rowOff>180975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N11"/>
  <sheetViews>
    <sheetView showGridLines="0" workbookViewId="0">
      <selection activeCell="H22" sqref="H22"/>
    </sheetView>
  </sheetViews>
  <sheetFormatPr defaultRowHeight="15"/>
  <cols>
    <col min="1" max="1" width="15.140625" customWidth="1"/>
    <col min="2" max="2" width="23" customWidth="1"/>
    <col min="3" max="3" width="14" bestFit="1" customWidth="1"/>
    <col min="4" max="4" width="10.7109375" customWidth="1"/>
    <col min="5" max="6" width="13.85546875" customWidth="1"/>
    <col min="7" max="7" width="10.140625" customWidth="1"/>
    <col min="8" max="8" width="19.42578125" bestFit="1" customWidth="1"/>
    <col min="9" max="9" width="15.7109375" customWidth="1"/>
    <col min="10" max="10" width="11.140625" customWidth="1"/>
    <col min="11" max="11" width="17" customWidth="1"/>
    <col min="12" max="12" width="31.5703125" bestFit="1" customWidth="1"/>
  </cols>
  <sheetData>
    <row r="1" spans="1:14">
      <c r="A1" t="s">
        <v>13</v>
      </c>
      <c r="B1" t="s">
        <v>8</v>
      </c>
      <c r="C1" t="s">
        <v>14</v>
      </c>
      <c r="D1" t="s">
        <v>24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12</v>
      </c>
    </row>
    <row r="2" spans="1:14">
      <c r="A2">
        <v>1</v>
      </c>
      <c r="B2" t="s">
        <v>66</v>
      </c>
      <c r="C2" t="s">
        <v>47</v>
      </c>
      <c r="D2" t="s">
        <v>47</v>
      </c>
      <c r="E2">
        <v>99863228649</v>
      </c>
      <c r="F2">
        <v>99863228649</v>
      </c>
      <c r="G2" t="s">
        <v>33</v>
      </c>
      <c r="H2" s="14" t="s">
        <v>67</v>
      </c>
      <c r="I2" t="s">
        <v>89</v>
      </c>
      <c r="J2">
        <v>2</v>
      </c>
      <c r="K2" s="14" t="s">
        <v>77</v>
      </c>
      <c r="L2" t="s">
        <v>57</v>
      </c>
      <c r="M2" t="s">
        <v>87</v>
      </c>
    </row>
    <row r="3" spans="1:14">
      <c r="A3">
        <v>2</v>
      </c>
      <c r="B3" t="s">
        <v>38</v>
      </c>
      <c r="C3" t="s">
        <v>48</v>
      </c>
      <c r="D3" t="s">
        <v>48</v>
      </c>
      <c r="E3">
        <v>99646948459</v>
      </c>
      <c r="F3">
        <v>99646948459</v>
      </c>
      <c r="G3" t="s">
        <v>32</v>
      </c>
      <c r="H3" s="14" t="s">
        <v>68</v>
      </c>
      <c r="I3" t="s">
        <v>90</v>
      </c>
      <c r="J3">
        <v>6</v>
      </c>
      <c r="K3" s="14" t="s">
        <v>78</v>
      </c>
      <c r="L3" t="s">
        <v>58</v>
      </c>
      <c r="M3" t="s">
        <v>87</v>
      </c>
    </row>
    <row r="4" spans="1:14">
      <c r="A4">
        <v>3</v>
      </c>
      <c r="B4" t="s">
        <v>39</v>
      </c>
      <c r="C4" t="s">
        <v>49</v>
      </c>
      <c r="D4" t="s">
        <v>49</v>
      </c>
      <c r="E4">
        <v>99256540202</v>
      </c>
      <c r="F4">
        <v>99256540202</v>
      </c>
      <c r="G4" t="s">
        <v>36</v>
      </c>
      <c r="H4" s="14" t="s">
        <v>69</v>
      </c>
      <c r="I4" t="s">
        <v>91</v>
      </c>
      <c r="J4">
        <v>6</v>
      </c>
      <c r="K4" s="14" t="s">
        <v>79</v>
      </c>
      <c r="L4" t="s">
        <v>59</v>
      </c>
      <c r="M4" t="s">
        <v>87</v>
      </c>
    </row>
    <row r="5" spans="1:14">
      <c r="A5">
        <v>4</v>
      </c>
      <c r="B5" t="s">
        <v>40</v>
      </c>
      <c r="C5" t="s">
        <v>50</v>
      </c>
      <c r="D5" t="s">
        <v>50</v>
      </c>
      <c r="E5">
        <v>99006338192</v>
      </c>
      <c r="F5">
        <v>99006338192</v>
      </c>
      <c r="G5" t="s">
        <v>37</v>
      </c>
      <c r="H5" s="14" t="s">
        <v>70</v>
      </c>
      <c r="I5" t="s">
        <v>92</v>
      </c>
      <c r="J5">
        <v>8</v>
      </c>
      <c r="K5" s="14" t="s">
        <v>80</v>
      </c>
      <c r="L5" t="s">
        <v>60</v>
      </c>
      <c r="M5" t="s">
        <v>87</v>
      </c>
    </row>
    <row r="6" spans="1:14">
      <c r="A6">
        <v>5</v>
      </c>
      <c r="B6" t="s">
        <v>41</v>
      </c>
      <c r="C6" t="s">
        <v>51</v>
      </c>
      <c r="D6" t="s">
        <v>51</v>
      </c>
      <c r="E6">
        <v>99395989735</v>
      </c>
      <c r="F6">
        <v>99395989735</v>
      </c>
      <c r="G6" t="s">
        <v>32</v>
      </c>
      <c r="H6" s="14" t="s">
        <v>71</v>
      </c>
      <c r="I6" t="s">
        <v>93</v>
      </c>
      <c r="J6">
        <v>8</v>
      </c>
      <c r="K6" s="14" t="s">
        <v>81</v>
      </c>
      <c r="L6" t="s">
        <v>61</v>
      </c>
      <c r="M6" t="s">
        <v>87</v>
      </c>
    </row>
    <row r="7" spans="1:14">
      <c r="A7">
        <v>6</v>
      </c>
      <c r="B7" t="s">
        <v>42</v>
      </c>
      <c r="C7" t="s">
        <v>52</v>
      </c>
      <c r="D7" t="s">
        <v>52</v>
      </c>
      <c r="E7">
        <v>99283937058</v>
      </c>
      <c r="F7">
        <v>99283937058</v>
      </c>
      <c r="G7" t="s">
        <v>35</v>
      </c>
      <c r="H7" s="14" t="s">
        <v>72</v>
      </c>
      <c r="I7" t="s">
        <v>94</v>
      </c>
      <c r="J7">
        <v>9</v>
      </c>
      <c r="K7" s="14" t="s">
        <v>82</v>
      </c>
      <c r="L7" t="s">
        <v>62</v>
      </c>
      <c r="M7" t="s">
        <v>87</v>
      </c>
    </row>
    <row r="8" spans="1:14">
      <c r="A8">
        <v>7</v>
      </c>
      <c r="B8" t="s">
        <v>43</v>
      </c>
      <c r="C8" t="s">
        <v>53</v>
      </c>
      <c r="D8" t="s">
        <v>53</v>
      </c>
      <c r="E8">
        <v>99583116026</v>
      </c>
      <c r="F8">
        <v>99583116026</v>
      </c>
      <c r="G8" t="s">
        <v>31</v>
      </c>
      <c r="H8" s="14" t="s">
        <v>73</v>
      </c>
      <c r="I8" t="s">
        <v>95</v>
      </c>
      <c r="J8">
        <v>5</v>
      </c>
      <c r="K8" s="14" t="s">
        <v>83</v>
      </c>
      <c r="L8" t="s">
        <v>63</v>
      </c>
      <c r="M8" t="s">
        <v>87</v>
      </c>
    </row>
    <row r="9" spans="1:14">
      <c r="A9">
        <v>8</v>
      </c>
      <c r="B9" t="s">
        <v>44</v>
      </c>
      <c r="C9" t="s">
        <v>54</v>
      </c>
      <c r="D9" t="s">
        <v>54</v>
      </c>
      <c r="E9">
        <v>99302900983</v>
      </c>
      <c r="F9">
        <v>99302900983</v>
      </c>
      <c r="G9" t="s">
        <v>33</v>
      </c>
      <c r="H9" s="14" t="s">
        <v>74</v>
      </c>
      <c r="I9" t="s">
        <v>96</v>
      </c>
      <c r="J9">
        <v>9</v>
      </c>
      <c r="K9" s="14" t="s">
        <v>84</v>
      </c>
      <c r="L9" t="s">
        <v>64</v>
      </c>
      <c r="M9" t="s">
        <v>87</v>
      </c>
    </row>
    <row r="10" spans="1:14">
      <c r="A10">
        <v>9</v>
      </c>
      <c r="B10" t="s">
        <v>45</v>
      </c>
      <c r="C10" t="s">
        <v>55</v>
      </c>
      <c r="D10" t="s">
        <v>55</v>
      </c>
      <c r="E10">
        <v>99562956761</v>
      </c>
      <c r="F10">
        <v>99562956761</v>
      </c>
      <c r="G10" t="s">
        <v>34</v>
      </c>
      <c r="H10" s="14" t="s">
        <v>75</v>
      </c>
      <c r="I10" t="s">
        <v>97</v>
      </c>
      <c r="J10">
        <v>2</v>
      </c>
      <c r="K10" s="14" t="s">
        <v>85</v>
      </c>
      <c r="L10" t="s">
        <v>64</v>
      </c>
      <c r="M10" t="s">
        <v>87</v>
      </c>
    </row>
    <row r="11" spans="1:14">
      <c r="A11">
        <v>10</v>
      </c>
      <c r="B11" t="s">
        <v>46</v>
      </c>
      <c r="C11" t="s">
        <v>56</v>
      </c>
      <c r="D11" t="s">
        <v>56</v>
      </c>
      <c r="E11">
        <v>99964285988</v>
      </c>
      <c r="F11">
        <v>99964285988</v>
      </c>
      <c r="G11" t="s">
        <v>34</v>
      </c>
      <c r="H11" s="14" t="s">
        <v>76</v>
      </c>
      <c r="I11" t="s">
        <v>98</v>
      </c>
      <c r="J11">
        <v>8</v>
      </c>
      <c r="K11" s="14" t="s">
        <v>86</v>
      </c>
      <c r="L11" t="s">
        <v>65</v>
      </c>
      <c r="M11" t="s">
        <v>88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2:L66"/>
  <sheetViews>
    <sheetView view="pageBreakPreview" zoomScale="130" zoomScaleNormal="100" zoomScaleSheetLayoutView="130" workbookViewId="0">
      <selection activeCell="N8" sqref="N8"/>
    </sheetView>
  </sheetViews>
  <sheetFormatPr defaultRowHeight="15"/>
  <cols>
    <col min="1" max="1" width="1.85546875" customWidth="1"/>
    <col min="2" max="2" width="9.85546875" customWidth="1"/>
    <col min="3" max="3" width="4.140625" customWidth="1"/>
    <col min="4" max="4" width="10.28515625" customWidth="1"/>
    <col min="5" max="5" width="2.85546875" customWidth="1"/>
    <col min="6" max="6" width="10.5703125" customWidth="1"/>
    <col min="7" max="7" width="4.5703125" customWidth="1"/>
    <col min="8" max="8" width="10" customWidth="1"/>
    <col min="9" max="9" width="4" customWidth="1"/>
    <col min="10" max="10" width="11" customWidth="1"/>
    <col min="11" max="11" width="2.28515625" customWidth="1"/>
    <col min="12" max="12" width="10.7109375" customWidth="1"/>
  </cols>
  <sheetData>
    <row r="2" spans="2:12" ht="23.25" customHeight="1">
      <c r="B2" s="12" t="s">
        <v>25</v>
      </c>
      <c r="C2" s="10"/>
      <c r="D2" s="10"/>
      <c r="E2" s="10"/>
      <c r="F2" s="10"/>
      <c r="H2" s="12" t="str">
        <f>B2</f>
        <v>Alex</v>
      </c>
    </row>
    <row r="3" spans="2:12" ht="15.75" customHeight="1">
      <c r="B3" s="10"/>
      <c r="C3" s="10"/>
      <c r="D3" s="10"/>
      <c r="E3" s="10"/>
      <c r="F3" s="10"/>
    </row>
    <row r="4" spans="2:12" ht="13.5" customHeight="1">
      <c r="B4" s="29" t="s">
        <v>26</v>
      </c>
      <c r="C4" s="29"/>
      <c r="D4" s="29"/>
      <c r="E4" s="29"/>
      <c r="F4" s="29"/>
      <c r="H4" s="29" t="str">
        <f>B4</f>
        <v>Leilson Sousa Santos</v>
      </c>
      <c r="I4" s="29"/>
      <c r="J4" s="29"/>
      <c r="K4" s="29"/>
      <c r="L4" s="29"/>
    </row>
    <row r="5" spans="2:12" ht="9.75" customHeight="1"/>
    <row r="6" spans="2:12" ht="7.5" customHeight="1">
      <c r="B6" s="13" t="s">
        <v>28</v>
      </c>
      <c r="D6" s="13">
        <v>1250.23</v>
      </c>
      <c r="F6" s="13" t="s">
        <v>29</v>
      </c>
      <c r="J6" s="13">
        <f>D6</f>
        <v>1250.23</v>
      </c>
    </row>
    <row r="7" spans="2:12" ht="7.5" customHeight="1"/>
    <row r="8" spans="2:12" ht="7.5" customHeight="1">
      <c r="F8" s="13">
        <v>250</v>
      </c>
    </row>
    <row r="9" spans="2:12" ht="8.25" customHeight="1">
      <c r="B9" s="11"/>
      <c r="C9" s="11"/>
      <c r="D9" s="11"/>
    </row>
    <row r="10" spans="2:12" ht="7.5" customHeight="1">
      <c r="B10" s="30" t="s">
        <v>26</v>
      </c>
      <c r="C10" s="30"/>
      <c r="D10" s="30"/>
      <c r="F10" s="13"/>
    </row>
    <row r="14" spans="2:12" ht="23.25" customHeight="1">
      <c r="B14" s="12" t="str">
        <f>B2</f>
        <v>Alex</v>
      </c>
      <c r="C14" s="10"/>
      <c r="D14" s="10"/>
      <c r="E14" s="10"/>
      <c r="F14" s="10"/>
      <c r="H14" s="12" t="str">
        <f>B2</f>
        <v>Alex</v>
      </c>
    </row>
    <row r="15" spans="2:12" ht="15.75" customHeight="1">
      <c r="B15" s="10"/>
      <c r="C15" s="10"/>
      <c r="D15" s="10"/>
      <c r="E15" s="10"/>
      <c r="F15" s="10"/>
    </row>
    <row r="16" spans="2:12" ht="13.5" customHeight="1">
      <c r="B16" s="29" t="str">
        <f>B4</f>
        <v>Leilson Sousa Santos</v>
      </c>
      <c r="C16" s="29"/>
      <c r="D16" s="29"/>
      <c r="E16" s="29"/>
      <c r="F16" s="29"/>
      <c r="H16" s="29" t="str">
        <f>B4</f>
        <v>Leilson Sousa Santos</v>
      </c>
      <c r="I16" s="29"/>
      <c r="J16" s="29"/>
      <c r="K16" s="29"/>
      <c r="L16" s="29"/>
    </row>
    <row r="17" spans="2:12" ht="9.75" customHeight="1"/>
    <row r="18" spans="2:12" ht="7.5" customHeight="1">
      <c r="D18" s="13">
        <f>D6</f>
        <v>1250.23</v>
      </c>
      <c r="J18" s="13">
        <f>D6</f>
        <v>1250.23</v>
      </c>
    </row>
    <row r="19" spans="2:12" ht="7.5" customHeight="1"/>
    <row r="20" spans="2:12" ht="7.5" customHeight="1"/>
    <row r="21" spans="2:12" ht="8.25" customHeight="1">
      <c r="B21" s="11"/>
      <c r="C21" s="11"/>
      <c r="D21" s="11"/>
    </row>
    <row r="22" spans="2:12" ht="7.5" customHeight="1"/>
    <row r="25" spans="2:12" ht="23.25" customHeight="1">
      <c r="B25" s="12" t="str">
        <f>B2</f>
        <v>Alex</v>
      </c>
      <c r="C25" s="10"/>
      <c r="D25" s="10"/>
      <c r="E25" s="10"/>
      <c r="F25" s="10"/>
      <c r="H25" s="12" t="str">
        <f>B2</f>
        <v>Alex</v>
      </c>
    </row>
    <row r="26" spans="2:12" ht="15.75" customHeight="1">
      <c r="B26" s="10"/>
      <c r="C26" s="10"/>
      <c r="D26" s="10"/>
      <c r="E26" s="10"/>
      <c r="F26" s="10"/>
    </row>
    <row r="27" spans="2:12" ht="13.5" customHeight="1">
      <c r="B27" s="29" t="str">
        <f>B4</f>
        <v>Leilson Sousa Santos</v>
      </c>
      <c r="C27" s="29"/>
      <c r="D27" s="29"/>
      <c r="E27" s="29"/>
      <c r="F27" s="29"/>
      <c r="H27" s="29" t="str">
        <f>B4</f>
        <v>Leilson Sousa Santos</v>
      </c>
      <c r="I27" s="29"/>
      <c r="J27" s="29"/>
      <c r="K27" s="29"/>
      <c r="L27" s="29"/>
    </row>
    <row r="28" spans="2:12" ht="9.75" customHeight="1"/>
    <row r="29" spans="2:12" ht="7.5" customHeight="1">
      <c r="D29" s="13">
        <f>D6</f>
        <v>1250.23</v>
      </c>
      <c r="J29" s="13">
        <f>D6</f>
        <v>1250.23</v>
      </c>
    </row>
    <row r="30" spans="2:12" ht="7.5" customHeight="1"/>
    <row r="31" spans="2:12" ht="7.5" customHeight="1"/>
    <row r="32" spans="2:12" ht="8.25" customHeight="1">
      <c r="B32" s="11"/>
      <c r="C32" s="11"/>
      <c r="D32" s="11"/>
    </row>
    <row r="33" spans="2:12" ht="7.5" customHeight="1"/>
    <row r="36" spans="2:12" ht="23.25" customHeight="1">
      <c r="B36" s="12" t="str">
        <f>B2</f>
        <v>Alex</v>
      </c>
      <c r="C36" s="10"/>
      <c r="D36" s="10"/>
      <c r="E36" s="10"/>
      <c r="F36" s="10"/>
      <c r="H36" s="12" t="str">
        <f>B2</f>
        <v>Alex</v>
      </c>
    </row>
    <row r="37" spans="2:12" ht="15.75" customHeight="1">
      <c r="B37" s="10"/>
      <c r="C37" s="10"/>
      <c r="D37" s="10"/>
      <c r="E37" s="10"/>
      <c r="F37" s="10"/>
    </row>
    <row r="38" spans="2:12" ht="13.5" customHeight="1">
      <c r="B38" s="29" t="str">
        <f>B4</f>
        <v>Leilson Sousa Santos</v>
      </c>
      <c r="C38" s="29"/>
      <c r="D38" s="29"/>
      <c r="E38" s="29"/>
      <c r="F38" s="29"/>
      <c r="H38" s="29" t="str">
        <f>B4</f>
        <v>Leilson Sousa Santos</v>
      </c>
      <c r="I38" s="29"/>
      <c r="J38" s="29"/>
      <c r="K38" s="29"/>
      <c r="L38" s="29"/>
    </row>
    <row r="39" spans="2:12" ht="9.75" customHeight="1"/>
    <row r="40" spans="2:12" ht="7.5" customHeight="1">
      <c r="D40" s="13">
        <f>D6</f>
        <v>1250.23</v>
      </c>
      <c r="J40" s="13">
        <f>D6</f>
        <v>1250.23</v>
      </c>
    </row>
    <row r="41" spans="2:12" ht="7.5" customHeight="1"/>
    <row r="42" spans="2:12" ht="7.5" customHeight="1"/>
    <row r="43" spans="2:12" ht="8.25" customHeight="1">
      <c r="B43" s="11"/>
      <c r="C43" s="11"/>
      <c r="D43" s="11"/>
    </row>
    <row r="44" spans="2:12" ht="7.5" customHeight="1"/>
    <row r="47" spans="2:12" ht="23.25" customHeight="1">
      <c r="B47" s="12" t="str">
        <f>B2</f>
        <v>Alex</v>
      </c>
      <c r="C47" s="10"/>
      <c r="D47" s="10"/>
      <c r="E47" s="10"/>
      <c r="F47" s="10"/>
      <c r="H47" s="12" t="str">
        <f>B2</f>
        <v>Alex</v>
      </c>
    </row>
    <row r="48" spans="2:12" ht="15.75" customHeight="1">
      <c r="B48" s="10"/>
      <c r="C48" s="10"/>
      <c r="D48" s="10"/>
      <c r="E48" s="10"/>
      <c r="F48" s="10"/>
    </row>
    <row r="49" spans="2:12" ht="13.5" customHeight="1">
      <c r="B49" s="29" t="str">
        <f>B4</f>
        <v>Leilson Sousa Santos</v>
      </c>
      <c r="C49" s="29"/>
      <c r="D49" s="29"/>
      <c r="E49" s="29"/>
      <c r="F49" s="29"/>
      <c r="H49" s="29" t="str">
        <f>B4</f>
        <v>Leilson Sousa Santos</v>
      </c>
      <c r="I49" s="29"/>
      <c r="J49" s="29"/>
      <c r="K49" s="29"/>
      <c r="L49" s="29"/>
    </row>
    <row r="50" spans="2:12" ht="9.75" customHeight="1"/>
    <row r="51" spans="2:12" ht="7.5" customHeight="1">
      <c r="D51" s="13">
        <f>D6</f>
        <v>1250.23</v>
      </c>
      <c r="J51" s="13">
        <f>D6</f>
        <v>1250.23</v>
      </c>
    </row>
    <row r="52" spans="2:12" ht="7.5" customHeight="1"/>
    <row r="53" spans="2:12" ht="7.5" customHeight="1"/>
    <row r="54" spans="2:12" ht="8.25" customHeight="1">
      <c r="B54" s="11"/>
      <c r="C54" s="11"/>
      <c r="D54" s="11"/>
    </row>
    <row r="55" spans="2:12" ht="7.5" customHeight="1"/>
    <row r="58" spans="2:12" ht="23.25" customHeight="1">
      <c r="B58" s="12" t="str">
        <f>B2</f>
        <v>Alex</v>
      </c>
      <c r="C58" s="10"/>
      <c r="D58" s="10"/>
      <c r="E58" s="10"/>
      <c r="F58" s="10"/>
      <c r="H58" s="12" t="str">
        <f>B2</f>
        <v>Alex</v>
      </c>
    </row>
    <row r="59" spans="2:12" ht="15.75" customHeight="1">
      <c r="B59" s="10"/>
      <c r="C59" s="10"/>
      <c r="D59" s="10"/>
      <c r="E59" s="10"/>
      <c r="F59" s="10"/>
    </row>
    <row r="60" spans="2:12" ht="13.5" customHeight="1">
      <c r="B60" s="29" t="str">
        <f>B4</f>
        <v>Leilson Sousa Santos</v>
      </c>
      <c r="C60" s="29"/>
      <c r="D60" s="29"/>
      <c r="E60" s="29"/>
      <c r="F60" s="29"/>
      <c r="H60" s="29" t="str">
        <f>B4</f>
        <v>Leilson Sousa Santos</v>
      </c>
      <c r="I60" s="29"/>
      <c r="J60" s="29"/>
      <c r="K60" s="29"/>
      <c r="L60" s="29"/>
    </row>
    <row r="61" spans="2:12" ht="9.75" customHeight="1"/>
    <row r="62" spans="2:12" ht="7.5" customHeight="1">
      <c r="D62" s="13">
        <f>D6</f>
        <v>1250.23</v>
      </c>
      <c r="J62" s="13">
        <f>D6</f>
        <v>1250.23</v>
      </c>
    </row>
    <row r="63" spans="2:12" ht="7.5" customHeight="1"/>
    <row r="64" spans="2:12" ht="7.5" customHeight="1"/>
    <row r="65" spans="2:4" ht="8.25" customHeight="1">
      <c r="B65" s="11"/>
      <c r="C65" s="11"/>
      <c r="D65" s="11"/>
    </row>
    <row r="66" spans="2:4" ht="7.5" customHeight="1"/>
  </sheetData>
  <mergeCells count="13">
    <mergeCell ref="B4:F4"/>
    <mergeCell ref="H4:L4"/>
    <mergeCell ref="B16:F16"/>
    <mergeCell ref="H16:L16"/>
    <mergeCell ref="B60:F60"/>
    <mergeCell ref="H60:L60"/>
    <mergeCell ref="B10:D10"/>
    <mergeCell ref="B27:F27"/>
    <mergeCell ref="H27:L27"/>
    <mergeCell ref="B38:F38"/>
    <mergeCell ref="H38:L38"/>
    <mergeCell ref="B49:F49"/>
    <mergeCell ref="H49:L49"/>
  </mergeCells>
  <pageMargins left="0.16666666666666666" right="0.17708333333333334" top="0.1875" bottom="0.20833333333333334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3"/>
  <sheetViews>
    <sheetView workbookViewId="0">
      <selection activeCell="B3" sqref="B3"/>
    </sheetView>
  </sheetViews>
  <sheetFormatPr defaultRowHeight="15"/>
  <cols>
    <col min="1" max="1" width="26.42578125" customWidth="1"/>
    <col min="2" max="2" width="38" customWidth="1"/>
  </cols>
  <sheetData>
    <row r="1" spans="1:2">
      <c r="A1" s="19" t="s">
        <v>124</v>
      </c>
      <c r="B1" s="20">
        <v>5</v>
      </c>
    </row>
    <row r="2" spans="1:2">
      <c r="A2" s="19" t="s">
        <v>125</v>
      </c>
      <c r="B2" s="19">
        <v>5</v>
      </c>
    </row>
    <row r="3" spans="1:2">
      <c r="A3" t="s">
        <v>126</v>
      </c>
      <c r="B3" t="s">
        <v>127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price</vt:lpstr>
      <vt:lpstr>dados_cliente</vt:lpstr>
      <vt:lpstr>boleto</vt:lpstr>
      <vt:lpstr>Config</vt:lpstr>
      <vt:lpstr>boleto!Area_de_impressao</vt:lpstr>
      <vt:lpstr>clientes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farmacia</dc:creator>
  <cp:lastModifiedBy>Usuário do Windows</cp:lastModifiedBy>
  <cp:lastPrinted>2019-07-08T03:12:46Z</cp:lastPrinted>
  <dcterms:created xsi:type="dcterms:W3CDTF">2019-07-06T15:20:32Z</dcterms:created>
  <dcterms:modified xsi:type="dcterms:W3CDTF">2020-01-19T22:40:56Z</dcterms:modified>
</cp:coreProperties>
</file>